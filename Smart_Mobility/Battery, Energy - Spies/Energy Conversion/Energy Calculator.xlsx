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 calculator" sheetId="1" r:id="rId5"/>
  </sheets>
  <definedNames/>
  <calcPr/>
</workbook>
</file>

<file path=xl/sharedStrings.xml><?xml version="1.0" encoding="utf-8"?>
<sst xmlns="http://schemas.openxmlformats.org/spreadsheetml/2006/main" count="19" uniqueCount="19">
  <si>
    <t>Parameters</t>
  </si>
  <si>
    <t>Input Values</t>
  </si>
  <si>
    <t>Transmit Consumption (mA)</t>
  </si>
  <si>
    <t>Transmit Time (sec)</t>
  </si>
  <si>
    <t>Calculus Consumption (mA)</t>
  </si>
  <si>
    <t>Calculus Time (sec)</t>
  </si>
  <si>
    <t>Active Energy % of Total</t>
  </si>
  <si>
    <t>Deep Sleep Consumption (mA)</t>
  </si>
  <si>
    <t>Calculations</t>
  </si>
  <si>
    <t>Output Values</t>
  </si>
  <si>
    <t>Active Loop Energy (mA.s)</t>
  </si>
  <si>
    <t>Deep Sleep Energy (mA.s)</t>
  </si>
  <si>
    <t>Deep Sleep Time (sec)</t>
  </si>
  <si>
    <t>Total Cycle Time (sec)</t>
  </si>
  <si>
    <t>Energy Per Cycle (mAh)</t>
  </si>
  <si>
    <t>Cycles Per Hour</t>
  </si>
  <si>
    <t>Hourly Consumption (mAh)</t>
  </si>
  <si>
    <t>Monthly Consumption (mAh)</t>
  </si>
  <si>
    <t>Yearly Battery Size (mAh)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</si>
</sst>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1" t="s">
        <v>0</v>
      </c>
      <c r="B1" s="1" t="s">
        <v>1</v>
      </c>
    </row>
    <row r="2">
      <c r="A2" s="2" t="s">
        <v>2</v>
      </c>
      <c r="B2" s="2">
        <v>120.0</v>
      </c>
    </row>
    <row r="3">
      <c r="A3" s="2" t="s">
        <v>3</v>
      </c>
      <c r="B3" s="2">
        <v>1.0</v>
      </c>
    </row>
    <row r="4">
      <c r="A4" s="2" t="s">
        <v>4</v>
      </c>
      <c r="B4" s="2">
        <v>20.0</v>
      </c>
    </row>
    <row r="5">
      <c r="A5" s="2" t="s">
        <v>5</v>
      </c>
      <c r="B5" s="2">
        <v>5.0</v>
      </c>
    </row>
    <row r="6">
      <c r="A6" s="2" t="s">
        <v>6</v>
      </c>
      <c r="B6" s="3">
        <v>0.5</v>
      </c>
    </row>
    <row r="7">
      <c r="A7" s="2" t="s">
        <v>7</v>
      </c>
      <c r="B7" s="2">
        <v>0.3</v>
      </c>
    </row>
    <row r="9">
      <c r="A9" s="1" t="s">
        <v>8</v>
      </c>
      <c r="B9" s="1" t="s">
        <v>9</v>
      </c>
    </row>
    <row r="10">
      <c r="A10" s="2" t="s">
        <v>10</v>
      </c>
      <c r="B10" s="4">
        <f>(B2*B3)+(B4*B5)</f>
        <v>220</v>
      </c>
    </row>
    <row r="11">
      <c r="A11" s="2" t="s">
        <v>11</v>
      </c>
      <c r="B11" s="4">
        <f>(B10/B6)-B10</f>
        <v>220</v>
      </c>
    </row>
    <row r="12">
      <c r="A12" s="2" t="s">
        <v>12</v>
      </c>
      <c r="B12" s="4">
        <f>B11/B7</f>
        <v>733.3333333</v>
      </c>
    </row>
    <row r="13">
      <c r="A13" s="2" t="s">
        <v>13</v>
      </c>
      <c r="B13" s="4">
        <f>B3+B5+B12</f>
        <v>739.3333333</v>
      </c>
    </row>
    <row r="14">
      <c r="A14" s="2" t="s">
        <v>14</v>
      </c>
      <c r="B14" s="4">
        <f>(B10+B11)/3600</f>
        <v>0.1222222222</v>
      </c>
    </row>
    <row r="15">
      <c r="A15" s="2" t="s">
        <v>15</v>
      </c>
      <c r="B15" s="4">
        <f>3600/B13</f>
        <v>4.869251578</v>
      </c>
    </row>
    <row r="16">
      <c r="A16" s="2" t="s">
        <v>16</v>
      </c>
      <c r="B16" s="4">
        <f>B14*B15</f>
        <v>0.5951307484</v>
      </c>
    </row>
    <row r="17">
      <c r="A17" s="2" t="s">
        <v>17</v>
      </c>
      <c r="B17" s="4">
        <f>B16*24*30</f>
        <v>428.4941389</v>
      </c>
    </row>
    <row r="18">
      <c r="A18" s="2" t="s">
        <v>18</v>
      </c>
      <c r="B18" s="4">
        <f>B17*12</f>
        <v>5141.929666</v>
      </c>
    </row>
  </sheetData>
  <drawing r:id="rId1"/>
</worksheet>
</file>